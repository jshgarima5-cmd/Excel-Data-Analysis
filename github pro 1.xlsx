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AA32B96C5CB0FC/Documents/"/>
    </mc:Choice>
  </mc:AlternateContent>
  <xr:revisionPtr revIDLastSave="0" documentId="14_{01E96CC6-881E-4FD9-BE80-B4E4673F1A11}" xr6:coauthVersionLast="47" xr6:coauthVersionMax="47" xr10:uidLastSave="{00000000-0000-0000-0000-000000000000}"/>
  <bookViews>
    <workbookView xWindow="-108" yWindow="-108" windowWidth="23256" windowHeight="12456" xr2:uid="{57112942-4356-491A-B7B3-BEB1B5171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</calcChain>
</file>

<file path=xl/sharedStrings.xml><?xml version="1.0" encoding="utf-8"?>
<sst xmlns="http://schemas.openxmlformats.org/spreadsheetml/2006/main" count="306" uniqueCount="195">
  <si>
    <t>Employee Name</t>
  </si>
  <si>
    <t>Basic Pay</t>
  </si>
  <si>
    <t>Experience</t>
  </si>
  <si>
    <t>Total pay</t>
  </si>
  <si>
    <t>Date of joining</t>
  </si>
  <si>
    <t>Month of joining</t>
  </si>
  <si>
    <t>Salary Increment</t>
  </si>
  <si>
    <t>Percentage increase in salary</t>
  </si>
  <si>
    <t>First name</t>
  </si>
  <si>
    <t>Last name</t>
  </si>
  <si>
    <t>Reference</t>
  </si>
  <si>
    <t>Job Title</t>
  </si>
  <si>
    <t>KHUSHI KUMARI</t>
  </si>
  <si>
    <t>AVI MISHRA</t>
  </si>
  <si>
    <t>ASTUTI PANT</t>
  </si>
  <si>
    <t>SHIVAAY PATHAK</t>
  </si>
  <si>
    <t>NAVEEN PATIL</t>
  </si>
  <si>
    <t>KABIR SINGH</t>
  </si>
  <si>
    <t>DIVYA YADAV</t>
  </si>
  <si>
    <t xml:space="preserve">ARYAN SHARMA </t>
  </si>
  <si>
    <t>RIDDHI CHAUBEY</t>
  </si>
  <si>
    <t>SHRIYA TANDON</t>
  </si>
  <si>
    <t>ROOPAM SHUKLA</t>
  </si>
  <si>
    <t>SHAKSHI PATHAK</t>
  </si>
  <si>
    <t>SRISTI YADAV</t>
  </si>
  <si>
    <t>GARIMA SINGH</t>
  </si>
  <si>
    <t>ABHINAV SHUKLA</t>
  </si>
  <si>
    <t>MAHI VERMA</t>
  </si>
  <si>
    <t>MAULI SINGH</t>
  </si>
  <si>
    <t>ABHAY DUBEY</t>
  </si>
  <si>
    <t>SHRUTI PATNI</t>
  </si>
  <si>
    <t>PRANJAL MISHRA</t>
  </si>
  <si>
    <t>PALAK SINGH</t>
  </si>
  <si>
    <t>SHREYA YADAV</t>
  </si>
  <si>
    <t>AMIT VERMA</t>
  </si>
  <si>
    <t>AJAY KUMAR</t>
  </si>
  <si>
    <t>ASHI BAJPAI</t>
  </si>
  <si>
    <t>AVINASH CHAUDHARY</t>
  </si>
  <si>
    <t>ADI MISHRA</t>
  </si>
  <si>
    <t>SEERESH KUMAR</t>
  </si>
  <si>
    <t>KIRAN BEDI</t>
  </si>
  <si>
    <t>SALAM KHAN</t>
  </si>
  <si>
    <t>AMIR KHAN</t>
  </si>
  <si>
    <t>VARUN DHAWAN</t>
  </si>
  <si>
    <t>DEEPALI SINGH</t>
  </si>
  <si>
    <t>JANVI KAPOOR</t>
  </si>
  <si>
    <t>ARVIND YADAV</t>
  </si>
  <si>
    <t>VIRAT KOHLI</t>
  </si>
  <si>
    <t>ANUSHKA SINGH</t>
  </si>
  <si>
    <t>FREYA SINGH</t>
  </si>
  <si>
    <t>HARSH YADAV</t>
  </si>
  <si>
    <t xml:space="preserve">TARUN VERMA </t>
  </si>
  <si>
    <t>UDAY SINGH</t>
  </si>
  <si>
    <t>PRATAP SINGH</t>
  </si>
  <si>
    <t>JUHI CHAWLA</t>
  </si>
  <si>
    <t>RAVEENA TANDON</t>
  </si>
  <si>
    <t>JITENDRA KUMAR</t>
  </si>
  <si>
    <t>TANMAY RANA</t>
  </si>
  <si>
    <t>NIHARIKA SINGH</t>
  </si>
  <si>
    <t>BEENA JOSHI</t>
  </si>
  <si>
    <t>MAYANK MISHRA</t>
  </si>
  <si>
    <t>KHUSHI</t>
  </si>
  <si>
    <t>AVI</t>
  </si>
  <si>
    <t>ASTUTI</t>
  </si>
  <si>
    <t>SHIVAAY</t>
  </si>
  <si>
    <t>NAVEEN</t>
  </si>
  <si>
    <t>KABIR</t>
  </si>
  <si>
    <t>DIVYA</t>
  </si>
  <si>
    <t>ARYAN</t>
  </si>
  <si>
    <t>RIDDHI</t>
  </si>
  <si>
    <t>SHRIYA</t>
  </si>
  <si>
    <t>ROOPAM</t>
  </si>
  <si>
    <t>SHAKSHI</t>
  </si>
  <si>
    <t>SRISTI</t>
  </si>
  <si>
    <t>GARIMA</t>
  </si>
  <si>
    <t>ABHINAV</t>
  </si>
  <si>
    <t>MAHI</t>
  </si>
  <si>
    <t>MAULI</t>
  </si>
  <si>
    <t>ABHAY</t>
  </si>
  <si>
    <t>SHRUTI</t>
  </si>
  <si>
    <t>PRANJAL</t>
  </si>
  <si>
    <t>PALAK</t>
  </si>
  <si>
    <t>SHREYA</t>
  </si>
  <si>
    <t>AMIT</t>
  </si>
  <si>
    <t>AJAY</t>
  </si>
  <si>
    <t>ASHI</t>
  </si>
  <si>
    <t>AVINASH</t>
  </si>
  <si>
    <t>ADI</t>
  </si>
  <si>
    <t>KUMARI</t>
  </si>
  <si>
    <t>MISHRA</t>
  </si>
  <si>
    <t>PANT</t>
  </si>
  <si>
    <t>PATHAK</t>
  </si>
  <si>
    <t>PATIL</t>
  </si>
  <si>
    <t>SINGH</t>
  </si>
  <si>
    <t>YADAV</t>
  </si>
  <si>
    <t>SHARMA</t>
  </si>
  <si>
    <t>CHAUBEY</t>
  </si>
  <si>
    <t>TANDON</t>
  </si>
  <si>
    <t>SHUKLA</t>
  </si>
  <si>
    <t>VERMA</t>
  </si>
  <si>
    <t>DUBEY</t>
  </si>
  <si>
    <t>PATNI</t>
  </si>
  <si>
    <t>KUMAR</t>
  </si>
  <si>
    <t>BAJPAI</t>
  </si>
  <si>
    <t>CHAUDHARY</t>
  </si>
  <si>
    <t>SEERESH</t>
  </si>
  <si>
    <t>KIRAN</t>
  </si>
  <si>
    <t>SALAM</t>
  </si>
  <si>
    <t>AMIR</t>
  </si>
  <si>
    <t>VARUN</t>
  </si>
  <si>
    <t>DEEPALI</t>
  </si>
  <si>
    <t>JANVI</t>
  </si>
  <si>
    <t>ARVIND</t>
  </si>
  <si>
    <t>VIRAT</t>
  </si>
  <si>
    <t>ANUSHKA</t>
  </si>
  <si>
    <t>FREYA</t>
  </si>
  <si>
    <t>HARSH</t>
  </si>
  <si>
    <t>TARUN</t>
  </si>
  <si>
    <t>UDAY</t>
  </si>
  <si>
    <t>PRATAP</t>
  </si>
  <si>
    <t>JUHI</t>
  </si>
  <si>
    <t>RAVEENA</t>
  </si>
  <si>
    <t>JITENDRA</t>
  </si>
  <si>
    <t>TANMAY</t>
  </si>
  <si>
    <t>NIHARIKA</t>
  </si>
  <si>
    <t>BEENA</t>
  </si>
  <si>
    <t>MAYANK</t>
  </si>
  <si>
    <t>BEDI</t>
  </si>
  <si>
    <t>KHAN</t>
  </si>
  <si>
    <t>DHAWAN</t>
  </si>
  <si>
    <t>KAPOOR</t>
  </si>
  <si>
    <t>KOHLI</t>
  </si>
  <si>
    <t>CHAWLA</t>
  </si>
  <si>
    <t>RANA</t>
  </si>
  <si>
    <t>JOSHI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</si>
  <si>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</si>
  <si>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</si>
  <si>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</si>
  <si>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</si>
  <si>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</si>
  <si>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</si>
  <si>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</si>
  <si>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</si>
  <si>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</si>
  <si>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</si>
  <si>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</si>
  <si>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</si>
  <si>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SOFTWARE ENGINEER</t>
  </si>
  <si>
    <t>SOFTWARE DEVELOPER</t>
  </si>
  <si>
    <t>WEB DEVELOPER</t>
  </si>
  <si>
    <t>BACKEND DEVELOPER</t>
  </si>
  <si>
    <t>MOBILE APP DEVELOPER</t>
  </si>
  <si>
    <t>ANDROID DEVELOPER</t>
  </si>
  <si>
    <t>iOS DEVELOPER</t>
  </si>
  <si>
    <t>UI DEVELOPER</t>
  </si>
  <si>
    <t>GRAPHIC DESIGNER</t>
  </si>
  <si>
    <t>OA ENGINNER</t>
  </si>
  <si>
    <t>TEST ENGINEER</t>
  </si>
  <si>
    <t>PRODUCT DESIGNER</t>
  </si>
  <si>
    <t>AUTOMATION TESTER</t>
  </si>
  <si>
    <t>MANUAL TESTER</t>
  </si>
  <si>
    <t>ML ENGINEER</t>
  </si>
  <si>
    <t>AI ENGINEER</t>
  </si>
  <si>
    <t>SQL DEVELOPER</t>
  </si>
  <si>
    <t>CLOUD ENGINEER</t>
  </si>
  <si>
    <t>ERP CONSULTANT</t>
  </si>
  <si>
    <t>BLOCKCHAIN DECVELOPER</t>
  </si>
  <si>
    <t>PROJECT MANAGER</t>
  </si>
  <si>
    <t>TECHNICAL LEAD</t>
  </si>
  <si>
    <t>CLOUD ARCHITECT</t>
  </si>
  <si>
    <t>SAHIL</t>
  </si>
  <si>
    <t>ARNAV</t>
  </si>
  <si>
    <t>JITU</t>
  </si>
  <si>
    <t>RANJAN</t>
  </si>
  <si>
    <t>RANI</t>
  </si>
  <si>
    <t>LAVI</t>
  </si>
  <si>
    <t>RAHUL</t>
  </si>
  <si>
    <t>TANYA</t>
  </si>
  <si>
    <t>UMESH</t>
  </si>
  <si>
    <t>AMAY</t>
  </si>
  <si>
    <t>AKASH</t>
  </si>
  <si>
    <t>ESHA</t>
  </si>
  <si>
    <t>ASHWIN</t>
  </si>
  <si>
    <t>RONAK</t>
  </si>
  <si>
    <t>RAVI</t>
  </si>
  <si>
    <t>KAJAL</t>
  </si>
  <si>
    <t>KAVERI</t>
  </si>
  <si>
    <t>BADAL</t>
  </si>
  <si>
    <t>VEENETA</t>
  </si>
  <si>
    <t>VISHAL</t>
  </si>
  <si>
    <t>MADHAV</t>
  </si>
  <si>
    <t>MOHAN</t>
  </si>
  <si>
    <t>MALVIKA</t>
  </si>
  <si>
    <t>ANU</t>
  </si>
  <si>
    <t>HANSHIKA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</si>
</sst>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422B4-AC98-4C1A-BCD9-D4FD4A853BC6}" name="Table1" displayName="Table1" ref="A1:L50" totalsRowShown="0" headerRowDxfId="19" dataDxfId="18">
  <autoFilter ref="A1:L50" xr:uid="{AB1422B4-AC98-4C1A-BCD9-D4FD4A853BC6}"/>
  <tableColumns count="12">
    <tableColumn id="1" xr3:uid="{96E5CFB7-29EC-4CEB-BCFC-6EF00ED5FF59}" name="Employee Name" dataDxfId="17"/>
    <tableColumn id="2" xr3:uid="{D008ED81-5DC8-486A-B231-F24A23A23F93}" name="First name" dataDxfId="16"/>
    <tableColumn id="3" xr3:uid="{1B961E7A-0291-49FB-BA7C-695424443B63}" name="Last name" dataDxfId="15"/>
    <tableColumn id="4" xr3:uid="{DCE1FB9E-4BFF-46FB-825D-335DE6B17741}" name="Basic Pay" dataDxfId="14"/>
    <tableColumn id="5" xr3:uid="{1B2EE7BC-7C3C-4E49-8D6A-A7A37CB98D96}" name="Experience" dataDxfId="13"/>
    <tableColumn id="6" xr3:uid="{6D64F576-DF7C-46AE-99FE-ED3FB4CAF49B}" name="Salary Increment" dataDxfId="12"/>
    <tableColumn id="7" xr3:uid="{2E78AB77-07EB-4413-9935-EA0F4B39BB8E}" name="Percentage increase in salary" dataDxfId="11">
      <calculatedColumnFormula>F2/D2*100</calculatedColumnFormula>
    </tableColumn>
    <tableColumn id="8" xr3:uid="{F0B7E198-05EC-436B-BB7A-B8D66CE3A312}" name="Total pay" dataDxfId="10">
      <calculatedColumnFormula>SUM(D2,F2)</calculatedColumnFormula>
    </tableColumn>
    <tableColumn id="9" xr3:uid="{D62F9B2A-C9FA-4AFC-AF6B-29910953E85A}" name="Date of joining" dataDxfId="9"/>
    <tableColumn id="10" xr3:uid="{0F6AF651-7EA0-4891-9DD3-02C5B01DB044}" name="Month of joining" dataDxfId="8"/>
    <tableColumn id="11" xr3:uid="{F4E771DB-95DD-46AE-A903-260001844D47}" name="Job Title" dataDxfId="7"/>
    <tableColumn id="12" xr3:uid="{CA54E801-EDB4-4363-8E92-476C1E5539D8}" name="Reference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BDF0-7DEF-49A8-939F-88C456822FAA}">
  <dimension ref="A1:L50"/>
  <sheetViews>
    <sheetView tabSelected="1" topLeftCell="A24" workbookViewId="0">
      <selection activeCell="M8" sqref="M8"/>
    </sheetView>
  </sheetViews>
  <sheetFormatPr defaultRowHeight="14.4" x14ac:dyDescent="0.3"/>
  <cols>
    <col min="1" max="1" width="19.44140625" style="1" bestFit="1" customWidth="1"/>
    <col min="2" max="2" width="11.5546875" style="1" customWidth="1"/>
    <col min="3" max="3" width="11.44140625" style="1" bestFit="1" customWidth="1"/>
    <col min="4" max="4" width="10.6640625" style="1" customWidth="1"/>
    <col min="5" max="5" width="12" style="1" customWidth="1"/>
    <col min="6" max="6" width="17.109375" style="1" customWidth="1"/>
    <col min="7" max="7" width="27" style="1" customWidth="1"/>
    <col min="8" max="8" width="10.6640625" style="1" customWidth="1"/>
    <col min="9" max="9" width="15.21875" style="1" customWidth="1"/>
    <col min="10" max="10" width="17.109375" style="1" customWidth="1"/>
    <col min="11" max="11" width="23.33203125" style="1" bestFit="1" customWidth="1"/>
    <col min="12" max="12" width="11.33203125" style="1" customWidth="1"/>
    <col min="13" max="13" width="8.88671875" style="1"/>
    <col min="14" max="14" width="10.44140625" style="1" customWidth="1"/>
    <col min="15" max="16384" width="8.88671875" style="1"/>
  </cols>
  <sheetData>
    <row r="1" spans="1:12" x14ac:dyDescent="0.3">
      <c r="A1" s="6" t="s">
        <v>0</v>
      </c>
      <c r="B1" s="6" t="s">
        <v>8</v>
      </c>
      <c r="C1" s="6" t="s">
        <v>9</v>
      </c>
      <c r="D1" s="6" t="s">
        <v>1</v>
      </c>
      <c r="E1" s="6" t="s">
        <v>2</v>
      </c>
      <c r="F1" s="6" t="s">
        <v>6</v>
      </c>
      <c r="G1" s="6" t="s">
        <v>7</v>
      </c>
      <c r="H1" s="6" t="s">
        <v>3</v>
      </c>
      <c r="I1" s="6" t="s">
        <v>4</v>
      </c>
      <c r="J1" s="6" t="s">
        <v>5</v>
      </c>
      <c r="K1" s="6" t="s">
        <v>11</v>
      </c>
      <c r="L1" s="6" t="s">
        <v>10</v>
      </c>
    </row>
    <row r="2" spans="1:12" x14ac:dyDescent="0.3">
      <c r="A2" s="1" t="s">
        <v>12</v>
      </c>
      <c r="B2" s="1" t="s">
        <v>61</v>
      </c>
      <c r="C2" s="1" t="s">
        <v>88</v>
      </c>
      <c r="D2" s="1">
        <v>80000</v>
      </c>
      <c r="E2" s="2">
        <v>1</v>
      </c>
      <c r="F2" s="3">
        <v>10000</v>
      </c>
      <c r="G2" s="1">
        <f>F2/D2*100</f>
        <v>12.5</v>
      </c>
      <c r="H2" s="4">
        <f>SUM(D2,F2)</f>
        <v>90000</v>
      </c>
      <c r="I2" s="5">
        <v>45352</v>
      </c>
      <c r="J2" s="1" t="s">
        <v>135</v>
      </c>
      <c r="K2" s="1" t="s">
        <v>147</v>
      </c>
      <c r="L2" s="1" t="s">
        <v>84</v>
      </c>
    </row>
    <row r="3" spans="1:12" x14ac:dyDescent="0.3">
      <c r="A3" s="1" t="s">
        <v>13</v>
      </c>
      <c r="B3" s="1" t="s">
        <v>62</v>
      </c>
      <c r="C3" s="1" t="s">
        <v>89</v>
      </c>
      <c r="D3" s="1">
        <v>25000</v>
      </c>
      <c r="E3" s="2">
        <v>2</v>
      </c>
      <c r="F3" s="3">
        <v>20000</v>
      </c>
      <c r="G3" s="1">
        <f t="shared" ref="G3:G50" si="0">F3/D3*100</f>
        <v>80</v>
      </c>
      <c r="H3" s="4">
        <f t="shared" ref="H3:H50" si="1">SUM(D3,F3)</f>
        <v>45000</v>
      </c>
      <c r="I3" s="5">
        <v>45353</v>
      </c>
      <c r="J3" s="1" t="s">
        <v>136</v>
      </c>
      <c r="K3" s="1" t="s">
        <v>148</v>
      </c>
      <c r="L3" s="1" t="s">
        <v>170</v>
      </c>
    </row>
    <row r="4" spans="1:12" x14ac:dyDescent="0.3">
      <c r="A4" s="1" t="s">
        <v>14</v>
      </c>
      <c r="B4" s="1" t="s">
        <v>63</v>
      </c>
      <c r="C4" s="1" t="s">
        <v>90</v>
      </c>
      <c r="D4" s="1">
        <v>30000</v>
      </c>
      <c r="E4" s="2">
        <v>3</v>
      </c>
      <c r="F4" s="3">
        <v>30000</v>
      </c>
      <c r="G4" s="1">
        <f t="shared" si="0"/>
        <v>100</v>
      </c>
      <c r="H4" s="4">
        <f t="shared" si="1"/>
        <v>60000</v>
      </c>
      <c r="I4" s="5">
        <v>45354</v>
      </c>
      <c r="J4" s="1" t="s">
        <v>137</v>
      </c>
      <c r="K4" s="1" t="s">
        <v>149</v>
      </c>
      <c r="L4" s="1" t="s">
        <v>171</v>
      </c>
    </row>
    <row r="5" spans="1:12" x14ac:dyDescent="0.3">
      <c r="A5" s="1" t="s">
        <v>15</v>
      </c>
      <c r="B5" s="1" t="s">
        <v>64</v>
      </c>
      <c r="C5" s="1" t="s">
        <v>91</v>
      </c>
      <c r="D5" s="1">
        <v>45000</v>
      </c>
      <c r="E5" s="2">
        <v>4</v>
      </c>
      <c r="F5" s="3">
        <v>40000</v>
      </c>
      <c r="G5" s="1">
        <f t="shared" si="0"/>
        <v>88.888888888888886</v>
      </c>
      <c r="H5" s="4">
        <f t="shared" si="1"/>
        <v>85000</v>
      </c>
      <c r="I5" s="5">
        <v>45355</v>
      </c>
      <c r="J5" s="1" t="s">
        <v>138</v>
      </c>
      <c r="K5" s="1" t="s">
        <v>150</v>
      </c>
      <c r="L5" s="1" t="s">
        <v>172</v>
      </c>
    </row>
    <row r="6" spans="1:12" x14ac:dyDescent="0.3">
      <c r="A6" s="1" t="s">
        <v>16</v>
      </c>
      <c r="B6" s="1" t="s">
        <v>65</v>
      </c>
      <c r="C6" s="1" t="s">
        <v>92</v>
      </c>
      <c r="D6" s="1">
        <v>90000</v>
      </c>
      <c r="E6" s="2">
        <v>5</v>
      </c>
      <c r="F6" s="3">
        <v>10000</v>
      </c>
      <c r="G6" s="1">
        <f t="shared" si="0"/>
        <v>11.111111111111111</v>
      </c>
      <c r="H6" s="4">
        <f t="shared" si="1"/>
        <v>100000</v>
      </c>
      <c r="I6" s="5">
        <v>45356</v>
      </c>
      <c r="J6" s="1" t="s">
        <v>139</v>
      </c>
      <c r="K6" s="1" t="s">
        <v>151</v>
      </c>
      <c r="L6" s="1" t="s">
        <v>78</v>
      </c>
    </row>
    <row r="7" spans="1:12" x14ac:dyDescent="0.3">
      <c r="A7" s="1" t="s">
        <v>17</v>
      </c>
      <c r="B7" s="1" t="s">
        <v>66</v>
      </c>
      <c r="C7" s="1" t="s">
        <v>93</v>
      </c>
      <c r="D7" s="1">
        <v>56000</v>
      </c>
      <c r="E7" s="2">
        <v>6</v>
      </c>
      <c r="F7" s="3">
        <v>20000</v>
      </c>
      <c r="G7" s="1">
        <f t="shared" si="0"/>
        <v>35.714285714285715</v>
      </c>
      <c r="H7" s="4">
        <f t="shared" si="1"/>
        <v>76000</v>
      </c>
      <c r="I7" s="5">
        <v>45357</v>
      </c>
      <c r="J7" s="1" t="s">
        <v>140</v>
      </c>
      <c r="K7" s="1" t="s">
        <v>152</v>
      </c>
      <c r="L7" s="1" t="s">
        <v>83</v>
      </c>
    </row>
    <row r="8" spans="1:12" x14ac:dyDescent="0.3">
      <c r="A8" s="1" t="s">
        <v>18</v>
      </c>
      <c r="B8" s="1" t="s">
        <v>67</v>
      </c>
      <c r="C8" s="1" t="s">
        <v>94</v>
      </c>
      <c r="D8" s="1">
        <v>74000</v>
      </c>
      <c r="E8" s="2">
        <v>7</v>
      </c>
      <c r="F8" s="3">
        <v>30000</v>
      </c>
      <c r="G8" s="1">
        <f t="shared" si="0"/>
        <v>40.54054054054054</v>
      </c>
      <c r="H8" s="4">
        <f t="shared" si="1"/>
        <v>104000</v>
      </c>
      <c r="I8" s="5">
        <v>45358</v>
      </c>
      <c r="J8" s="1" t="s">
        <v>141</v>
      </c>
      <c r="K8" s="1" t="s">
        <v>153</v>
      </c>
      <c r="L8" s="1" t="s">
        <v>173</v>
      </c>
    </row>
    <row r="9" spans="1:12" x14ac:dyDescent="0.3">
      <c r="A9" s="1" t="s">
        <v>19</v>
      </c>
      <c r="B9" s="1" t="s">
        <v>68</v>
      </c>
      <c r="C9" s="1" t="s">
        <v>95</v>
      </c>
      <c r="D9" s="1">
        <v>25000</v>
      </c>
      <c r="E9" s="2">
        <v>8</v>
      </c>
      <c r="F9" s="3">
        <v>40000</v>
      </c>
      <c r="G9" s="1">
        <f t="shared" si="0"/>
        <v>160</v>
      </c>
      <c r="H9" s="4">
        <f t="shared" si="1"/>
        <v>65000</v>
      </c>
      <c r="I9" s="5">
        <v>45359</v>
      </c>
      <c r="J9" s="1" t="s">
        <v>142</v>
      </c>
      <c r="K9" s="1" t="s">
        <v>154</v>
      </c>
      <c r="L9" s="1" t="s">
        <v>174</v>
      </c>
    </row>
    <row r="10" spans="1:12" x14ac:dyDescent="0.3">
      <c r="A10" s="1" t="s">
        <v>20</v>
      </c>
      <c r="B10" s="1" t="s">
        <v>69</v>
      </c>
      <c r="C10" s="1" t="s">
        <v>96</v>
      </c>
      <c r="D10" s="1">
        <v>69000</v>
      </c>
      <c r="E10" s="2">
        <v>9</v>
      </c>
      <c r="F10" s="3">
        <v>10000</v>
      </c>
      <c r="G10" s="1">
        <f t="shared" si="0"/>
        <v>14.492753623188406</v>
      </c>
      <c r="H10" s="4">
        <f t="shared" si="1"/>
        <v>79000</v>
      </c>
      <c r="I10" s="5">
        <v>45360</v>
      </c>
      <c r="J10" s="1" t="s">
        <v>143</v>
      </c>
      <c r="K10" s="1" t="s">
        <v>155</v>
      </c>
      <c r="L10" s="1" t="s">
        <v>67</v>
      </c>
    </row>
    <row r="11" spans="1:12" x14ac:dyDescent="0.3">
      <c r="A11" s="1" t="s">
        <v>21</v>
      </c>
      <c r="B11" s="1" t="s">
        <v>70</v>
      </c>
      <c r="C11" s="1" t="s">
        <v>97</v>
      </c>
      <c r="D11" s="1">
        <v>45000</v>
      </c>
      <c r="E11" s="2">
        <v>10</v>
      </c>
      <c r="F11" s="3">
        <v>20000</v>
      </c>
      <c r="G11" s="1">
        <f t="shared" si="0"/>
        <v>44.444444444444443</v>
      </c>
      <c r="H11" s="4">
        <f t="shared" si="1"/>
        <v>65000</v>
      </c>
      <c r="I11" s="5">
        <v>45361</v>
      </c>
      <c r="J11" s="1" t="s">
        <v>144</v>
      </c>
      <c r="K11" s="1" t="s">
        <v>156</v>
      </c>
      <c r="L11" s="1" t="s">
        <v>175</v>
      </c>
    </row>
    <row r="12" spans="1:12" x14ac:dyDescent="0.3">
      <c r="A12" s="1" t="s">
        <v>22</v>
      </c>
      <c r="B12" s="1" t="s">
        <v>71</v>
      </c>
      <c r="C12" s="1" t="s">
        <v>98</v>
      </c>
      <c r="D12" s="1">
        <v>29000</v>
      </c>
      <c r="E12" s="2">
        <v>11</v>
      </c>
      <c r="F12" s="3">
        <v>30000</v>
      </c>
      <c r="G12" s="1">
        <f t="shared" si="0"/>
        <v>103.44827586206897</v>
      </c>
      <c r="H12" s="4">
        <f t="shared" si="1"/>
        <v>59000</v>
      </c>
      <c r="I12" s="5">
        <v>45362</v>
      </c>
      <c r="J12" s="1" t="s">
        <v>145</v>
      </c>
      <c r="K12" s="1" t="s">
        <v>157</v>
      </c>
      <c r="L12" s="1" t="s">
        <v>176</v>
      </c>
    </row>
    <row r="13" spans="1:12" x14ac:dyDescent="0.3">
      <c r="A13" s="1" t="s">
        <v>23</v>
      </c>
      <c r="B13" s="1" t="s">
        <v>72</v>
      </c>
      <c r="C13" s="1" t="s">
        <v>91</v>
      </c>
      <c r="D13" s="1">
        <v>46000</v>
      </c>
      <c r="E13" s="2">
        <v>12</v>
      </c>
      <c r="F13" s="3">
        <v>40000</v>
      </c>
      <c r="G13" s="1">
        <f t="shared" si="0"/>
        <v>86.956521739130437</v>
      </c>
      <c r="H13" s="4">
        <f t="shared" si="1"/>
        <v>86000</v>
      </c>
      <c r="I13" s="5">
        <v>45363</v>
      </c>
      <c r="J13" s="1" t="s">
        <v>146</v>
      </c>
      <c r="K13" s="1" t="s">
        <v>158</v>
      </c>
      <c r="L13" s="1" t="s">
        <v>177</v>
      </c>
    </row>
    <row r="14" spans="1:12" x14ac:dyDescent="0.3">
      <c r="A14" s="1" t="s">
        <v>24</v>
      </c>
      <c r="B14" s="1" t="s">
        <v>73</v>
      </c>
      <c r="C14" s="1" t="s">
        <v>94</v>
      </c>
      <c r="D14" s="1">
        <v>36000</v>
      </c>
      <c r="E14" s="2">
        <v>13</v>
      </c>
      <c r="F14" s="3">
        <v>10000</v>
      </c>
      <c r="G14" s="1">
        <f t="shared" si="0"/>
        <v>27.777777777777779</v>
      </c>
      <c r="H14" s="4">
        <f t="shared" si="1"/>
        <v>46000</v>
      </c>
      <c r="I14" s="5">
        <v>45364</v>
      </c>
      <c r="J14" s="1" t="s">
        <v>135</v>
      </c>
      <c r="K14" s="1" t="s">
        <v>159</v>
      </c>
      <c r="L14" s="1" t="s">
        <v>178</v>
      </c>
    </row>
    <row r="15" spans="1:12" x14ac:dyDescent="0.3">
      <c r="A15" s="1" t="s">
        <v>25</v>
      </c>
      <c r="B15" s="1" t="s">
        <v>74</v>
      </c>
      <c r="C15" s="1" t="s">
        <v>93</v>
      </c>
      <c r="D15" s="1">
        <v>85000</v>
      </c>
      <c r="E15" s="2">
        <v>14</v>
      </c>
      <c r="F15" s="3">
        <v>20000</v>
      </c>
      <c r="G15" s="1">
        <f t="shared" si="0"/>
        <v>23.52941176470588</v>
      </c>
      <c r="H15" s="4">
        <f t="shared" si="1"/>
        <v>105000</v>
      </c>
      <c r="I15" s="5">
        <v>45365</v>
      </c>
      <c r="J15" s="1" t="s">
        <v>136</v>
      </c>
      <c r="K15" s="1" t="s">
        <v>160</v>
      </c>
      <c r="L15" s="1" t="s">
        <v>179</v>
      </c>
    </row>
    <row r="16" spans="1:12" x14ac:dyDescent="0.3">
      <c r="A16" s="1" t="s">
        <v>26</v>
      </c>
      <c r="B16" s="1" t="s">
        <v>75</v>
      </c>
      <c r="C16" s="1" t="s">
        <v>98</v>
      </c>
      <c r="D16" s="1">
        <v>16000</v>
      </c>
      <c r="E16" s="2">
        <v>15</v>
      </c>
      <c r="F16" s="3">
        <v>30000</v>
      </c>
      <c r="G16" s="1">
        <f t="shared" si="0"/>
        <v>187.5</v>
      </c>
      <c r="H16" s="4">
        <f t="shared" si="1"/>
        <v>46000</v>
      </c>
      <c r="I16" s="5">
        <v>45366</v>
      </c>
      <c r="J16" s="1" t="s">
        <v>137</v>
      </c>
      <c r="K16" s="1" t="s">
        <v>161</v>
      </c>
      <c r="L16" s="1" t="s">
        <v>180</v>
      </c>
    </row>
    <row r="17" spans="1:12" x14ac:dyDescent="0.3">
      <c r="A17" s="1" t="s">
        <v>27</v>
      </c>
      <c r="B17" s="1" t="s">
        <v>76</v>
      </c>
      <c r="C17" s="1" t="s">
        <v>99</v>
      </c>
      <c r="D17" s="1">
        <v>49000</v>
      </c>
      <c r="E17" s="2">
        <v>16</v>
      </c>
      <c r="F17" s="3">
        <v>40000</v>
      </c>
      <c r="G17" s="1">
        <f t="shared" si="0"/>
        <v>81.632653061224488</v>
      </c>
      <c r="H17" s="4">
        <f t="shared" si="1"/>
        <v>89000</v>
      </c>
      <c r="I17" s="5">
        <v>45367</v>
      </c>
      <c r="J17" s="1" t="s">
        <v>138</v>
      </c>
      <c r="K17" s="1" t="s">
        <v>162</v>
      </c>
      <c r="L17" s="1" t="s">
        <v>181</v>
      </c>
    </row>
    <row r="18" spans="1:12" x14ac:dyDescent="0.3">
      <c r="A18" s="1" t="s">
        <v>28</v>
      </c>
      <c r="B18" s="1" t="s">
        <v>77</v>
      </c>
      <c r="C18" s="1" t="s">
        <v>93</v>
      </c>
      <c r="D18" s="1">
        <v>76000</v>
      </c>
      <c r="E18" s="2">
        <v>17</v>
      </c>
      <c r="F18" s="3">
        <v>10000</v>
      </c>
      <c r="G18" s="1">
        <f t="shared" si="0"/>
        <v>13.157894736842104</v>
      </c>
      <c r="H18" s="4">
        <f t="shared" si="1"/>
        <v>86000</v>
      </c>
      <c r="I18" s="5">
        <v>45368</v>
      </c>
      <c r="J18" s="1" t="s">
        <v>139</v>
      </c>
      <c r="K18" s="1" t="s">
        <v>163</v>
      </c>
      <c r="L18" s="1" t="s">
        <v>182</v>
      </c>
    </row>
    <row r="19" spans="1:12" x14ac:dyDescent="0.3">
      <c r="A19" s="1" t="s">
        <v>29</v>
      </c>
      <c r="B19" s="1" t="s">
        <v>78</v>
      </c>
      <c r="C19" s="1" t="s">
        <v>100</v>
      </c>
      <c r="D19" s="1">
        <v>19000</v>
      </c>
      <c r="E19" s="2">
        <v>18</v>
      </c>
      <c r="F19" s="3">
        <v>20000</v>
      </c>
      <c r="G19" s="1">
        <f t="shared" si="0"/>
        <v>105.26315789473684</v>
      </c>
      <c r="H19" s="4">
        <f t="shared" si="1"/>
        <v>39000</v>
      </c>
      <c r="I19" s="5">
        <v>45369</v>
      </c>
      <c r="J19" s="1" t="s">
        <v>140</v>
      </c>
      <c r="K19" s="1" t="s">
        <v>164</v>
      </c>
      <c r="L19" s="1" t="s">
        <v>183</v>
      </c>
    </row>
    <row r="20" spans="1:12" x14ac:dyDescent="0.3">
      <c r="A20" s="1" t="s">
        <v>30</v>
      </c>
      <c r="B20" s="1" t="s">
        <v>79</v>
      </c>
      <c r="C20" s="1" t="s">
        <v>101</v>
      </c>
      <c r="D20" s="1">
        <v>28000</v>
      </c>
      <c r="E20" s="2">
        <v>19</v>
      </c>
      <c r="F20" s="3">
        <v>30000</v>
      </c>
      <c r="G20" s="1">
        <f t="shared" si="0"/>
        <v>107.14285714285714</v>
      </c>
      <c r="H20" s="4">
        <f t="shared" si="1"/>
        <v>58000</v>
      </c>
      <c r="I20" s="5">
        <v>45370</v>
      </c>
      <c r="J20" s="1" t="s">
        <v>141</v>
      </c>
      <c r="K20" s="1" t="s">
        <v>165</v>
      </c>
      <c r="L20" s="1" t="s">
        <v>184</v>
      </c>
    </row>
    <row r="21" spans="1:12" x14ac:dyDescent="0.3">
      <c r="A21" s="1" t="s">
        <v>31</v>
      </c>
      <c r="B21" s="1" t="s">
        <v>80</v>
      </c>
      <c r="C21" s="1" t="s">
        <v>89</v>
      </c>
      <c r="D21" s="1">
        <v>59000</v>
      </c>
      <c r="E21" s="2">
        <v>20</v>
      </c>
      <c r="F21" s="3">
        <v>40000</v>
      </c>
      <c r="G21" s="1">
        <f t="shared" si="0"/>
        <v>67.796610169491515</v>
      </c>
      <c r="H21" s="4">
        <f t="shared" si="1"/>
        <v>99000</v>
      </c>
      <c r="I21" s="5">
        <v>45371</v>
      </c>
      <c r="J21" s="1" t="s">
        <v>142</v>
      </c>
      <c r="K21" s="1" t="s">
        <v>166</v>
      </c>
      <c r="L21" s="1" t="s">
        <v>185</v>
      </c>
    </row>
    <row r="22" spans="1:12" x14ac:dyDescent="0.3">
      <c r="A22" s="1" t="s">
        <v>32</v>
      </c>
      <c r="B22" s="1" t="s">
        <v>81</v>
      </c>
      <c r="C22" s="1" t="s">
        <v>93</v>
      </c>
      <c r="D22" s="1">
        <v>72000</v>
      </c>
      <c r="E22" s="2">
        <v>21</v>
      </c>
      <c r="F22" s="3">
        <v>10000</v>
      </c>
      <c r="G22" s="1">
        <f t="shared" si="0"/>
        <v>13.888888888888889</v>
      </c>
      <c r="H22" s="4">
        <f t="shared" si="1"/>
        <v>82000</v>
      </c>
      <c r="I22" s="5">
        <v>45372</v>
      </c>
      <c r="J22" s="1" t="s">
        <v>143</v>
      </c>
      <c r="K22" s="1" t="s">
        <v>147</v>
      </c>
      <c r="L22" s="1" t="s">
        <v>186</v>
      </c>
    </row>
    <row r="23" spans="1:12" x14ac:dyDescent="0.3">
      <c r="A23" s="1" t="s">
        <v>33</v>
      </c>
      <c r="B23" s="1" t="s">
        <v>82</v>
      </c>
      <c r="C23" s="1" t="s">
        <v>94</v>
      </c>
      <c r="D23" s="1">
        <v>29000</v>
      </c>
      <c r="E23" s="2">
        <v>22</v>
      </c>
      <c r="F23" s="3">
        <v>20000</v>
      </c>
      <c r="G23" s="1">
        <f t="shared" si="0"/>
        <v>68.965517241379317</v>
      </c>
      <c r="H23" s="4">
        <f t="shared" si="1"/>
        <v>49000</v>
      </c>
      <c r="I23" s="5">
        <v>45373</v>
      </c>
      <c r="J23" s="1" t="s">
        <v>144</v>
      </c>
      <c r="K23" s="1" t="s">
        <v>148</v>
      </c>
      <c r="L23" s="1" t="s">
        <v>187</v>
      </c>
    </row>
    <row r="24" spans="1:12" x14ac:dyDescent="0.3">
      <c r="A24" s="1" t="s">
        <v>34</v>
      </c>
      <c r="B24" s="1" t="s">
        <v>83</v>
      </c>
      <c r="C24" s="1" t="s">
        <v>99</v>
      </c>
      <c r="D24" s="1">
        <v>45000</v>
      </c>
      <c r="E24" s="2">
        <v>4</v>
      </c>
      <c r="F24" s="3">
        <v>30000</v>
      </c>
      <c r="G24" s="1">
        <f t="shared" si="0"/>
        <v>66.666666666666657</v>
      </c>
      <c r="H24" s="4">
        <f t="shared" si="1"/>
        <v>75000</v>
      </c>
      <c r="I24" s="5">
        <v>45374</v>
      </c>
      <c r="J24" s="1" t="s">
        <v>145</v>
      </c>
      <c r="K24" s="1" t="s">
        <v>149</v>
      </c>
      <c r="L24" s="1" t="s">
        <v>188</v>
      </c>
    </row>
    <row r="25" spans="1:12" x14ac:dyDescent="0.3">
      <c r="A25" s="1" t="s">
        <v>35</v>
      </c>
      <c r="B25" s="1" t="s">
        <v>84</v>
      </c>
      <c r="C25" s="1" t="s">
        <v>102</v>
      </c>
      <c r="D25" s="1">
        <v>76000</v>
      </c>
      <c r="E25" s="2">
        <v>7</v>
      </c>
      <c r="F25" s="3">
        <v>40000</v>
      </c>
      <c r="G25" s="1">
        <f t="shared" si="0"/>
        <v>52.631578947368418</v>
      </c>
      <c r="H25" s="4">
        <f t="shared" si="1"/>
        <v>116000</v>
      </c>
      <c r="I25" s="5">
        <v>45375</v>
      </c>
      <c r="J25" s="1" t="s">
        <v>146</v>
      </c>
      <c r="K25" s="1" t="s">
        <v>159</v>
      </c>
      <c r="L25" s="1" t="s">
        <v>189</v>
      </c>
    </row>
    <row r="26" spans="1:12" x14ac:dyDescent="0.3">
      <c r="A26" s="1" t="s">
        <v>36</v>
      </c>
      <c r="B26" s="1" t="s">
        <v>85</v>
      </c>
      <c r="C26" s="1" t="s">
        <v>103</v>
      </c>
      <c r="D26" s="1">
        <v>29000</v>
      </c>
      <c r="E26" s="2">
        <v>8</v>
      </c>
      <c r="F26" s="3">
        <v>10000</v>
      </c>
      <c r="G26" s="1">
        <f t="shared" si="0"/>
        <v>34.482758620689658</v>
      </c>
      <c r="H26" s="4">
        <f t="shared" si="1"/>
        <v>39000</v>
      </c>
      <c r="I26" s="5">
        <v>45376</v>
      </c>
      <c r="J26" s="1" t="s">
        <v>135</v>
      </c>
      <c r="K26" s="1" t="s">
        <v>162</v>
      </c>
      <c r="L26" s="1" t="s">
        <v>190</v>
      </c>
    </row>
    <row r="27" spans="1:12" x14ac:dyDescent="0.3">
      <c r="A27" s="1" t="s">
        <v>37</v>
      </c>
      <c r="B27" s="1" t="s">
        <v>86</v>
      </c>
      <c r="C27" s="1" t="s">
        <v>104</v>
      </c>
      <c r="D27" s="1">
        <v>43000</v>
      </c>
      <c r="E27" s="2">
        <v>4</v>
      </c>
      <c r="F27" s="3">
        <v>20000</v>
      </c>
      <c r="G27" s="1">
        <f t="shared" si="0"/>
        <v>46.511627906976742</v>
      </c>
      <c r="H27" s="4">
        <f t="shared" si="1"/>
        <v>63000</v>
      </c>
      <c r="I27" s="5">
        <v>45377</v>
      </c>
      <c r="J27" s="1" t="s">
        <v>136</v>
      </c>
      <c r="K27" s="1" t="s">
        <v>163</v>
      </c>
      <c r="L27" s="1" t="s">
        <v>191</v>
      </c>
    </row>
    <row r="28" spans="1:12" x14ac:dyDescent="0.3">
      <c r="A28" s="1" t="s">
        <v>38</v>
      </c>
      <c r="B28" s="1" t="s">
        <v>87</v>
      </c>
      <c r="C28" s="1" t="s">
        <v>89</v>
      </c>
      <c r="D28" s="1">
        <v>86000</v>
      </c>
      <c r="E28" s="2">
        <v>5</v>
      </c>
      <c r="F28" s="3">
        <v>30000</v>
      </c>
      <c r="G28" s="1">
        <f t="shared" si="0"/>
        <v>34.883720930232556</v>
      </c>
      <c r="H28" s="4">
        <f t="shared" si="1"/>
        <v>116000</v>
      </c>
      <c r="I28" s="5">
        <v>45378</v>
      </c>
      <c r="J28" s="1" t="s">
        <v>137</v>
      </c>
      <c r="K28" s="1" t="s">
        <v>155</v>
      </c>
      <c r="L28" s="1" t="s">
        <v>192</v>
      </c>
    </row>
    <row r="29" spans="1:12" x14ac:dyDescent="0.3">
      <c r="A29" s="1" t="s">
        <v>39</v>
      </c>
      <c r="B29" s="1" t="s">
        <v>105</v>
      </c>
      <c r="C29" s="1" t="s">
        <v>102</v>
      </c>
      <c r="D29" s="1">
        <v>16000</v>
      </c>
      <c r="E29" s="2">
        <v>10</v>
      </c>
      <c r="F29" s="3">
        <v>40000</v>
      </c>
      <c r="G29" s="1">
        <f t="shared" si="0"/>
        <v>250</v>
      </c>
      <c r="H29" s="4">
        <f t="shared" si="1"/>
        <v>56000</v>
      </c>
      <c r="I29" s="5">
        <v>45379</v>
      </c>
      <c r="J29" s="1" t="s">
        <v>138</v>
      </c>
      <c r="K29" s="1" t="s">
        <v>158</v>
      </c>
      <c r="L29" s="1" t="s">
        <v>193</v>
      </c>
    </row>
    <row r="30" spans="1:12" x14ac:dyDescent="0.3">
      <c r="A30" s="1" t="s">
        <v>40</v>
      </c>
      <c r="B30" s="1" t="s">
        <v>106</v>
      </c>
      <c r="C30" s="1" t="s">
        <v>127</v>
      </c>
      <c r="D30" s="1">
        <v>49000</v>
      </c>
      <c r="E30" s="2">
        <v>4</v>
      </c>
      <c r="F30" s="3">
        <v>10000</v>
      </c>
      <c r="G30" s="1">
        <f t="shared" si="0"/>
        <v>20.408163265306122</v>
      </c>
      <c r="H30" s="4">
        <f t="shared" si="1"/>
        <v>59000</v>
      </c>
      <c r="I30" s="5">
        <v>45380</v>
      </c>
      <c r="J30" s="1" t="s">
        <v>139</v>
      </c>
      <c r="K30" s="1" t="s">
        <v>161</v>
      </c>
      <c r="L30" s="1" t="s">
        <v>194</v>
      </c>
    </row>
    <row r="31" spans="1:12" x14ac:dyDescent="0.3">
      <c r="A31" s="1" t="s">
        <v>41</v>
      </c>
      <c r="B31" s="1" t="s">
        <v>107</v>
      </c>
      <c r="C31" s="1" t="s">
        <v>128</v>
      </c>
      <c r="D31" s="1">
        <v>75000</v>
      </c>
      <c r="E31" s="2">
        <v>3</v>
      </c>
      <c r="F31" s="3">
        <v>20000</v>
      </c>
      <c r="G31" s="1">
        <f t="shared" si="0"/>
        <v>26.666666666666668</v>
      </c>
      <c r="H31" s="4">
        <f t="shared" si="1"/>
        <v>95000</v>
      </c>
      <c r="I31" s="5">
        <v>45381</v>
      </c>
      <c r="J31" s="1" t="s">
        <v>140</v>
      </c>
      <c r="K31" s="1" t="s">
        <v>164</v>
      </c>
      <c r="L31" s="1" t="s">
        <v>84</v>
      </c>
    </row>
    <row r="32" spans="1:12" x14ac:dyDescent="0.3">
      <c r="A32" s="1" t="s">
        <v>42</v>
      </c>
      <c r="B32" s="1" t="s">
        <v>108</v>
      </c>
      <c r="C32" s="1" t="s">
        <v>128</v>
      </c>
      <c r="D32" s="1">
        <v>29000</v>
      </c>
      <c r="E32" s="2">
        <v>6</v>
      </c>
      <c r="F32" s="3">
        <v>30000</v>
      </c>
      <c r="G32" s="1">
        <f t="shared" si="0"/>
        <v>103.44827586206897</v>
      </c>
      <c r="H32" s="4">
        <f t="shared" si="1"/>
        <v>59000</v>
      </c>
      <c r="I32" s="5">
        <v>45382</v>
      </c>
      <c r="J32" s="1" t="s">
        <v>141</v>
      </c>
      <c r="K32" s="1" t="s">
        <v>164</v>
      </c>
      <c r="L32" s="1" t="s">
        <v>170</v>
      </c>
    </row>
    <row r="33" spans="1:12" x14ac:dyDescent="0.3">
      <c r="A33" s="1" t="s">
        <v>43</v>
      </c>
      <c r="B33" s="1" t="s">
        <v>109</v>
      </c>
      <c r="C33" s="1" t="s">
        <v>129</v>
      </c>
      <c r="D33" s="1">
        <v>78000</v>
      </c>
      <c r="E33" s="2">
        <v>9</v>
      </c>
      <c r="F33" s="3">
        <v>40000</v>
      </c>
      <c r="G33" s="1">
        <f t="shared" si="0"/>
        <v>51.282051282051277</v>
      </c>
      <c r="H33" s="4">
        <f t="shared" si="1"/>
        <v>118000</v>
      </c>
      <c r="I33" s="5">
        <v>45383</v>
      </c>
      <c r="J33" s="1" t="s">
        <v>142</v>
      </c>
      <c r="K33" s="1" t="s">
        <v>153</v>
      </c>
      <c r="L33" s="1" t="s">
        <v>171</v>
      </c>
    </row>
    <row r="34" spans="1:12" x14ac:dyDescent="0.3">
      <c r="A34" s="1" t="s">
        <v>44</v>
      </c>
      <c r="B34" s="1" t="s">
        <v>110</v>
      </c>
      <c r="C34" s="1" t="s">
        <v>93</v>
      </c>
      <c r="D34" s="1">
        <v>49000</v>
      </c>
      <c r="E34" s="2">
        <v>12</v>
      </c>
      <c r="F34" s="3">
        <v>10000</v>
      </c>
      <c r="G34" s="1">
        <f t="shared" si="0"/>
        <v>20.408163265306122</v>
      </c>
      <c r="H34" s="4">
        <f t="shared" si="1"/>
        <v>59000</v>
      </c>
      <c r="I34" s="5">
        <v>45384</v>
      </c>
      <c r="J34" s="1" t="s">
        <v>143</v>
      </c>
      <c r="K34" s="1" t="s">
        <v>154</v>
      </c>
      <c r="L34" s="1" t="s">
        <v>172</v>
      </c>
    </row>
    <row r="35" spans="1:12" x14ac:dyDescent="0.3">
      <c r="A35" s="1" t="s">
        <v>45</v>
      </c>
      <c r="B35" s="1" t="s">
        <v>111</v>
      </c>
      <c r="C35" s="1" t="s">
        <v>130</v>
      </c>
      <c r="D35" s="1">
        <v>68000</v>
      </c>
      <c r="E35" s="2">
        <v>15</v>
      </c>
      <c r="F35" s="3">
        <v>20000</v>
      </c>
      <c r="G35" s="1">
        <f t="shared" si="0"/>
        <v>29.411764705882355</v>
      </c>
      <c r="H35" s="4">
        <f t="shared" si="1"/>
        <v>88000</v>
      </c>
      <c r="I35" s="5">
        <v>45385</v>
      </c>
      <c r="J35" s="1" t="s">
        <v>144</v>
      </c>
      <c r="K35" s="1" t="s">
        <v>156</v>
      </c>
      <c r="L35" s="1" t="s">
        <v>78</v>
      </c>
    </row>
    <row r="36" spans="1:12" x14ac:dyDescent="0.3">
      <c r="A36" s="1" t="s">
        <v>46</v>
      </c>
      <c r="B36" s="1" t="s">
        <v>112</v>
      </c>
      <c r="C36" s="1" t="s">
        <v>94</v>
      </c>
      <c r="D36" s="1">
        <v>73000</v>
      </c>
      <c r="E36" s="2">
        <v>18</v>
      </c>
      <c r="F36" s="3">
        <v>30000</v>
      </c>
      <c r="G36" s="1">
        <f t="shared" si="0"/>
        <v>41.095890410958901</v>
      </c>
      <c r="H36" s="4">
        <f t="shared" si="1"/>
        <v>103000</v>
      </c>
      <c r="I36" s="5">
        <v>45386</v>
      </c>
      <c r="J36" s="1" t="s">
        <v>145</v>
      </c>
      <c r="K36" s="1" t="s">
        <v>160</v>
      </c>
      <c r="L36" s="1" t="s">
        <v>83</v>
      </c>
    </row>
    <row r="37" spans="1:12" x14ac:dyDescent="0.3">
      <c r="A37" s="1" t="s">
        <v>47</v>
      </c>
      <c r="B37" s="1" t="s">
        <v>113</v>
      </c>
      <c r="C37" s="1" t="s">
        <v>131</v>
      </c>
      <c r="D37" s="1">
        <v>19820</v>
      </c>
      <c r="E37" s="2">
        <v>21</v>
      </c>
      <c r="F37" s="3">
        <v>40000</v>
      </c>
      <c r="G37" s="1">
        <f t="shared" si="0"/>
        <v>201.81634712411704</v>
      </c>
      <c r="H37" s="4">
        <f t="shared" si="1"/>
        <v>59820</v>
      </c>
      <c r="I37" s="5">
        <v>45387</v>
      </c>
      <c r="J37" s="1" t="s">
        <v>146</v>
      </c>
      <c r="K37" s="1" t="s">
        <v>166</v>
      </c>
      <c r="L37" s="1" t="s">
        <v>173</v>
      </c>
    </row>
    <row r="38" spans="1:12" x14ac:dyDescent="0.3">
      <c r="A38" s="1" t="s">
        <v>48</v>
      </c>
      <c r="B38" s="1" t="s">
        <v>114</v>
      </c>
      <c r="C38" s="1" t="s">
        <v>93</v>
      </c>
      <c r="D38" s="1">
        <v>46025</v>
      </c>
      <c r="E38" s="2">
        <v>24</v>
      </c>
      <c r="F38" s="3">
        <v>10000</v>
      </c>
      <c r="G38" s="1">
        <f t="shared" si="0"/>
        <v>21.727322107550247</v>
      </c>
      <c r="H38" s="4">
        <f t="shared" si="1"/>
        <v>56025</v>
      </c>
      <c r="I38" s="5">
        <v>45388</v>
      </c>
      <c r="J38" s="1" t="s">
        <v>135</v>
      </c>
      <c r="K38" s="1" t="s">
        <v>167</v>
      </c>
      <c r="L38" s="1" t="s">
        <v>174</v>
      </c>
    </row>
    <row r="39" spans="1:12" x14ac:dyDescent="0.3">
      <c r="A39" s="1" t="s">
        <v>49</v>
      </c>
      <c r="B39" s="1" t="s">
        <v>115</v>
      </c>
      <c r="C39" s="1" t="s">
        <v>93</v>
      </c>
      <c r="D39" s="1">
        <v>46978</v>
      </c>
      <c r="E39" s="2">
        <v>27</v>
      </c>
      <c r="F39" s="3">
        <v>20000</v>
      </c>
      <c r="G39" s="1">
        <f t="shared" si="0"/>
        <v>42.573119332453487</v>
      </c>
      <c r="H39" s="4">
        <f t="shared" si="1"/>
        <v>66978</v>
      </c>
      <c r="I39" s="5">
        <v>45389</v>
      </c>
      <c r="J39" s="1" t="s">
        <v>136</v>
      </c>
      <c r="K39" s="1" t="s">
        <v>168</v>
      </c>
      <c r="L39" s="1" t="s">
        <v>67</v>
      </c>
    </row>
    <row r="40" spans="1:12" x14ac:dyDescent="0.3">
      <c r="A40" s="1" t="s">
        <v>50</v>
      </c>
      <c r="B40" s="1" t="s">
        <v>116</v>
      </c>
      <c r="C40" s="1" t="s">
        <v>94</v>
      </c>
      <c r="D40" s="1">
        <v>13679</v>
      </c>
      <c r="E40" s="2">
        <v>2</v>
      </c>
      <c r="F40" s="3">
        <v>30000</v>
      </c>
      <c r="G40" s="1">
        <f t="shared" si="0"/>
        <v>219.31427735945613</v>
      </c>
      <c r="H40" s="4">
        <f t="shared" si="1"/>
        <v>43679</v>
      </c>
      <c r="I40" s="5">
        <v>45390</v>
      </c>
      <c r="J40" s="1" t="s">
        <v>137</v>
      </c>
      <c r="K40" s="1" t="s">
        <v>169</v>
      </c>
      <c r="L40" s="1" t="s">
        <v>175</v>
      </c>
    </row>
    <row r="41" spans="1:12" x14ac:dyDescent="0.3">
      <c r="A41" s="1" t="s">
        <v>51</v>
      </c>
      <c r="B41" s="1" t="s">
        <v>117</v>
      </c>
      <c r="C41" s="1" t="s">
        <v>99</v>
      </c>
      <c r="D41" s="1">
        <v>25896</v>
      </c>
      <c r="E41" s="2">
        <v>4</v>
      </c>
      <c r="F41" s="3">
        <v>40000</v>
      </c>
      <c r="G41" s="1">
        <f t="shared" si="0"/>
        <v>154.46400988569664</v>
      </c>
      <c r="H41" s="4">
        <f t="shared" si="1"/>
        <v>65896</v>
      </c>
      <c r="I41" s="5">
        <v>45391</v>
      </c>
      <c r="J41" s="1" t="s">
        <v>138</v>
      </c>
      <c r="K41" s="1" t="s">
        <v>165</v>
      </c>
      <c r="L41" s="1" t="s">
        <v>176</v>
      </c>
    </row>
    <row r="42" spans="1:12" x14ac:dyDescent="0.3">
      <c r="A42" s="1" t="s">
        <v>52</v>
      </c>
      <c r="B42" s="1" t="s">
        <v>118</v>
      </c>
      <c r="C42" s="1" t="s">
        <v>93</v>
      </c>
      <c r="D42" s="1">
        <v>54789</v>
      </c>
      <c r="E42" s="2">
        <v>6</v>
      </c>
      <c r="F42" s="3">
        <v>10000</v>
      </c>
      <c r="G42" s="1">
        <f t="shared" si="0"/>
        <v>18.251838872766431</v>
      </c>
      <c r="H42" s="4">
        <f t="shared" si="1"/>
        <v>64789</v>
      </c>
      <c r="I42" s="5">
        <v>45392</v>
      </c>
      <c r="J42" s="1" t="s">
        <v>139</v>
      </c>
      <c r="K42" s="1" t="s">
        <v>162</v>
      </c>
      <c r="L42" s="1" t="s">
        <v>177</v>
      </c>
    </row>
    <row r="43" spans="1:12" x14ac:dyDescent="0.3">
      <c r="A43" s="1" t="s">
        <v>53</v>
      </c>
      <c r="B43" s="1" t="s">
        <v>119</v>
      </c>
      <c r="C43" s="1" t="s">
        <v>93</v>
      </c>
      <c r="D43" s="1">
        <v>32145</v>
      </c>
      <c r="E43" s="2">
        <v>8</v>
      </c>
      <c r="F43" s="3">
        <v>20000</v>
      </c>
      <c r="G43" s="1">
        <f t="shared" si="0"/>
        <v>62.218074350598854</v>
      </c>
      <c r="H43" s="4">
        <f t="shared" si="1"/>
        <v>52145</v>
      </c>
      <c r="I43" s="5">
        <v>45393</v>
      </c>
      <c r="J43" s="1" t="s">
        <v>140</v>
      </c>
      <c r="K43" s="1" t="s">
        <v>159</v>
      </c>
      <c r="L43" s="1" t="s">
        <v>178</v>
      </c>
    </row>
    <row r="44" spans="1:12" x14ac:dyDescent="0.3">
      <c r="A44" s="1" t="s">
        <v>54</v>
      </c>
      <c r="B44" s="1" t="s">
        <v>120</v>
      </c>
      <c r="C44" s="1" t="s">
        <v>132</v>
      </c>
      <c r="D44" s="1">
        <v>16524</v>
      </c>
      <c r="E44" s="2">
        <v>10</v>
      </c>
      <c r="F44" s="3">
        <v>30000</v>
      </c>
      <c r="G44" s="1">
        <f t="shared" si="0"/>
        <v>181.55410312273057</v>
      </c>
      <c r="H44" s="4">
        <f t="shared" si="1"/>
        <v>46524</v>
      </c>
      <c r="I44" s="5">
        <v>45394</v>
      </c>
      <c r="J44" s="1" t="s">
        <v>141</v>
      </c>
      <c r="K44" s="1" t="s">
        <v>154</v>
      </c>
      <c r="L44" s="1" t="s">
        <v>179</v>
      </c>
    </row>
    <row r="45" spans="1:12" x14ac:dyDescent="0.3">
      <c r="A45" s="1" t="s">
        <v>55</v>
      </c>
      <c r="B45" s="1" t="s">
        <v>121</v>
      </c>
      <c r="C45" s="1" t="s">
        <v>97</v>
      </c>
      <c r="D45" s="1">
        <v>25987</v>
      </c>
      <c r="E45" s="2">
        <v>12</v>
      </c>
      <c r="F45" s="3">
        <v>40000</v>
      </c>
      <c r="G45" s="1">
        <f t="shared" si="0"/>
        <v>153.92311540385577</v>
      </c>
      <c r="H45" s="4">
        <f t="shared" si="1"/>
        <v>65987</v>
      </c>
      <c r="I45" s="5">
        <v>45395</v>
      </c>
      <c r="J45" s="1" t="s">
        <v>142</v>
      </c>
      <c r="K45" s="1" t="s">
        <v>167</v>
      </c>
      <c r="L45" s="1" t="s">
        <v>180</v>
      </c>
    </row>
    <row r="46" spans="1:12" x14ac:dyDescent="0.3">
      <c r="A46" s="1" t="s">
        <v>56</v>
      </c>
      <c r="B46" s="1" t="s">
        <v>122</v>
      </c>
      <c r="C46" s="1" t="s">
        <v>102</v>
      </c>
      <c r="D46" s="1">
        <v>24569</v>
      </c>
      <c r="E46" s="2">
        <v>14</v>
      </c>
      <c r="F46" s="3">
        <v>10000</v>
      </c>
      <c r="G46" s="1">
        <f t="shared" si="0"/>
        <v>40.701697260775774</v>
      </c>
      <c r="H46" s="4">
        <f t="shared" si="1"/>
        <v>34569</v>
      </c>
      <c r="I46" s="5">
        <v>45396</v>
      </c>
      <c r="J46" s="1" t="s">
        <v>143</v>
      </c>
      <c r="K46" s="1" t="s">
        <v>162</v>
      </c>
      <c r="L46" s="1" t="s">
        <v>181</v>
      </c>
    </row>
    <row r="47" spans="1:12" x14ac:dyDescent="0.3">
      <c r="A47" s="1" t="s">
        <v>57</v>
      </c>
      <c r="B47" s="1" t="s">
        <v>123</v>
      </c>
      <c r="C47" s="1" t="s">
        <v>133</v>
      </c>
      <c r="D47" s="1">
        <v>80000</v>
      </c>
      <c r="E47" s="2">
        <v>16</v>
      </c>
      <c r="F47" s="3">
        <v>20000</v>
      </c>
      <c r="G47" s="1">
        <f t="shared" si="0"/>
        <v>25</v>
      </c>
      <c r="H47" s="4">
        <f t="shared" si="1"/>
        <v>100000</v>
      </c>
      <c r="I47" s="5">
        <v>45397</v>
      </c>
      <c r="J47" s="1" t="s">
        <v>144</v>
      </c>
      <c r="K47" s="1" t="s">
        <v>163</v>
      </c>
      <c r="L47" s="1" t="s">
        <v>182</v>
      </c>
    </row>
    <row r="48" spans="1:12" x14ac:dyDescent="0.3">
      <c r="A48" s="1" t="s">
        <v>58</v>
      </c>
      <c r="B48" s="1" t="s">
        <v>124</v>
      </c>
      <c r="C48" s="1" t="s">
        <v>93</v>
      </c>
      <c r="D48" s="1">
        <v>90000</v>
      </c>
      <c r="E48" s="2">
        <v>18</v>
      </c>
      <c r="F48" s="3">
        <v>30000</v>
      </c>
      <c r="G48" s="1">
        <f t="shared" si="0"/>
        <v>33.333333333333329</v>
      </c>
      <c r="H48" s="4">
        <f t="shared" si="1"/>
        <v>120000</v>
      </c>
      <c r="I48" s="5">
        <v>45398</v>
      </c>
      <c r="J48" s="1" t="s">
        <v>145</v>
      </c>
      <c r="K48" s="1" t="s">
        <v>147</v>
      </c>
      <c r="L48" s="1" t="s">
        <v>183</v>
      </c>
    </row>
    <row r="49" spans="1:12" x14ac:dyDescent="0.3">
      <c r="A49" s="1" t="s">
        <v>59</v>
      </c>
      <c r="B49" s="1" t="s">
        <v>125</v>
      </c>
      <c r="C49" s="1" t="s">
        <v>134</v>
      </c>
      <c r="D49" s="1">
        <v>75000</v>
      </c>
      <c r="E49" s="2">
        <v>20</v>
      </c>
      <c r="F49" s="3">
        <v>40000</v>
      </c>
      <c r="G49" s="1">
        <f t="shared" si="0"/>
        <v>53.333333333333336</v>
      </c>
      <c r="H49" s="4">
        <f t="shared" si="1"/>
        <v>115000</v>
      </c>
      <c r="I49" s="5">
        <v>45399</v>
      </c>
      <c r="J49" s="1" t="s">
        <v>146</v>
      </c>
      <c r="K49" s="1" t="s">
        <v>148</v>
      </c>
      <c r="L49" s="1" t="s">
        <v>184</v>
      </c>
    </row>
    <row r="50" spans="1:12" x14ac:dyDescent="0.3">
      <c r="A50" s="1" t="s">
        <v>60</v>
      </c>
      <c r="B50" s="1" t="s">
        <v>126</v>
      </c>
      <c r="C50" s="1" t="s">
        <v>89</v>
      </c>
      <c r="D50" s="1">
        <v>95000</v>
      </c>
      <c r="E50" s="2">
        <v>22</v>
      </c>
      <c r="F50" s="3">
        <v>10000</v>
      </c>
      <c r="G50" s="1">
        <f t="shared" si="0"/>
        <v>10.526315789473683</v>
      </c>
      <c r="H50" s="4">
        <f t="shared" si="1"/>
        <v>105000</v>
      </c>
      <c r="I50" s="5">
        <v>45400</v>
      </c>
      <c r="J50" s="1" t="s">
        <v>135</v>
      </c>
      <c r="K50" s="1" t="s">
        <v>162</v>
      </c>
      <c r="L50" s="1" t="s">
        <v>185</v>
      </c>
    </row>
  </sheetData>
  <phoneticPr fontId="2" type="noConversion"/>
  <conditionalFormatting sqref="D2:D50 G2:G50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50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{15E16553-A7EE-4659-9485-04F2756D3907}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{0D02D666-B729-4D1D-8A34-9316F321360C}</x14:id>
        </ext>
      </extLst>
    </cfRule>
  </conditionalFormatting>
  <conditionalFormatting sqref="I2:I50">
    <cfRule type="colorScale" priority="15">
      <colorScale>
        <cfvo type="min"/>
        <cfvo type="max"/>
        <color rgb="FFFFEF9C"/>
        <color rgb="FF63BE7B"/>
      </colorScale>
    </cfRule>
  </conditionalFormatting>
  <conditionalFormatting sqref="J2:J50">
    <cfRule type="containsText" dxfId="5" priority="1" operator="containsText" text="MARCH">
      <formula>NOT(ISERROR(SEARCH("MARCH",J2)))</formula>
    </cfRule>
    <cfRule type="containsText" dxfId="4" priority="2" operator="containsText" text="JULY">
      <formula>NOT(ISERROR(SEARCH("JULY",J2)))</formula>
    </cfRule>
    <cfRule type="containsText" dxfId="3" priority="3" operator="containsText" text="APRIL">
      <formula>NOT(ISERROR(SEARCH("APRIL",J2)))</formula>
    </cfRule>
    <cfRule type="containsText" dxfId="2" priority="4" operator="containsText" text="SEPTEMBER">
      <formula>NOT(ISERROR(SEARCH("SEPTEMBER",J2)))</formula>
    </cfRule>
    <cfRule type="containsText" dxfId="1" priority="5" operator="containsText" text="DECEMBER">
      <formula>NOT(ISERROR(SEARCH("DECEMBER",J2)))</formula>
    </cfRule>
    <cfRule type="containsText" dxfId="0" priority="6" operator="containsText" text="JANUARY">
      <formula>NOT(ISERROR(SEARCH("JANUARY",J2)))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E16553-A7EE-4659-9485-04F2756D3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02D666-B729-4D1D-8A34-9316F32136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Joshi</dc:creator>
  <cp:lastModifiedBy>Garima Joshi</cp:lastModifiedBy>
  <cp:lastPrinted>2026-01-02T13:52:49Z</cp:lastPrinted>
  <dcterms:created xsi:type="dcterms:W3CDTF">2026-01-02T11:46:01Z</dcterms:created>
  <dcterms:modified xsi:type="dcterms:W3CDTF">2026-01-02T13:54:36Z</dcterms:modified>
</cp:coreProperties>
</file>